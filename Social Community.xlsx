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04E98CB-31F3-4947-8BAA-A88E7BCFB1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4" r:id="rId1"/>
    <sheet name="Idea List" sheetId="1" r:id="rId2"/>
    <sheet name="Dashboard view" sheetId="2" r:id="rId3"/>
    <sheet name=" UPVOTES VS COMMENTS" sheetId="3" r:id="rId4"/>
  </sheets>
  <definedNames>
    <definedName name="_xlchart.v1.0" hidden="1">'Idea List'!$E$1</definedName>
    <definedName name="_xlchart.v1.1" hidden="1">'Idea List'!$E$2:$E$17</definedName>
    <definedName name="_xlchart.v1.2" hidden="1">'Idea List'!$E$1</definedName>
    <definedName name="_xlchart.v1.3" hidden="1">'Idea List'!$E$2:$E$17</definedName>
    <definedName name="_xlchart.v1.4" hidden="1">'Idea List'!$E$1</definedName>
    <definedName name="_xlchart.v1.5" hidden="1">'Idea List'!$E$2:$E$17</definedName>
  </definedNames>
  <calcPr calcId="191029"/>
</workbook>
</file>

<file path=xl/calcChain.xml><?xml version="1.0" encoding="utf-8"?>
<calcChain xmlns="http://schemas.openxmlformats.org/spreadsheetml/2006/main">
  <c r="C2" i="2" l="1"/>
  <c r="B2" i="2"/>
  <c r="A2" i="2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<sst xmlns="http://schemas.openxmlformats.org/spreadsheetml/2006/main" count="13" uniqueCount="13">
  <si>
    <t xml:space="preserve">Idea ID  </t>
  </si>
  <si>
    <t xml:space="preserve">Idea Title </t>
  </si>
  <si>
    <t>Description</t>
  </si>
  <si>
    <t>Date Submitted</t>
  </si>
  <si>
    <t>Upvote Count</t>
  </si>
  <si>
    <t>Comment Count</t>
  </si>
  <si>
    <t>Discussion Score</t>
  </si>
  <si>
    <t>Social community</t>
  </si>
  <si>
    <t>TOTAL IDEAS</t>
  </si>
  <si>
    <t>TOTAL UPVOTES</t>
  </si>
  <si>
    <t>TOTAL DISCUSSIONS</t>
  </si>
  <si>
    <t xml:space="preserve">UPVOTE VS 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</si>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</sst>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8D-4BDC-BC99-A911FA381C0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8D-4BDC-BC99-A911FA381C0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8D-4BDC-BC99-A911FA381C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view'!$A$1:$C$1</c:f>
              <c:strCache>
                <c:ptCount val="3"/>
                <c:pt idx="0">
                  <c:v>TOTAL IDEAS</c:v>
                </c:pt>
                <c:pt idx="1">
                  <c:v>TOTAL UPVOTES</c:v>
                </c:pt>
                <c:pt idx="2">
                  <c:v>TOTAL DISCUSSIONS</c:v>
                </c:pt>
              </c:strCache>
            </c:strRef>
          </c:cat>
          <c:val>
            <c:numRef>
              <c:f>'Dashboard view'!$A$2:$C$2</c:f>
              <c:numCache>
                <c:formatCode>General</c:formatCode>
                <c:ptCount val="3"/>
                <c:pt idx="0">
                  <c:v>16</c:v>
                </c:pt>
                <c:pt idx="1">
                  <c:v>1142</c:v>
                </c:pt>
                <c:pt idx="2">
                  <c:v>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8D-4BDC-BC99-A911FA381C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UPVOTE</a:t>
            </a:r>
            <a:r>
              <a:rPr lang="en-IN" baseline="0"/>
              <a:t> VS COMMENTS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'Idea List'!$E$1</c:f>
              <c:strCache>
                <c:ptCount val="1"/>
                <c:pt idx="0">
                  <c:v>Upvote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'Idea List'!$E$2:$E$17</c:f>
              <c:numCache>
                <c:formatCode>General</c:formatCode>
                <c:ptCount val="16"/>
                <c:pt idx="0">
                  <c:v>85</c:v>
                </c:pt>
                <c:pt idx="1">
                  <c:v>70</c:v>
                </c:pt>
                <c:pt idx="2">
                  <c:v>66</c:v>
                </c:pt>
                <c:pt idx="3">
                  <c:v>99</c:v>
                </c:pt>
                <c:pt idx="4">
                  <c:v>88</c:v>
                </c:pt>
                <c:pt idx="5">
                  <c:v>50</c:v>
                </c:pt>
                <c:pt idx="6">
                  <c:v>49</c:v>
                </c:pt>
                <c:pt idx="7">
                  <c:v>60</c:v>
                </c:pt>
                <c:pt idx="8">
                  <c:v>55</c:v>
                </c:pt>
                <c:pt idx="9">
                  <c:v>78</c:v>
                </c:pt>
                <c:pt idx="10">
                  <c:v>82</c:v>
                </c:pt>
                <c:pt idx="11">
                  <c:v>67</c:v>
                </c:pt>
                <c:pt idx="12">
                  <c:v>59</c:v>
                </c:pt>
                <c:pt idx="13">
                  <c:v>90</c:v>
                </c:pt>
                <c:pt idx="14">
                  <c:v>64</c:v>
                </c:pt>
                <c:pt idx="1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8-4B26-BDCC-EA5D997C39C9}"/>
            </c:ext>
          </c:extLst>
        </c:ser>
        <c:ser>
          <c:idx val="1"/>
          <c:order val="1"/>
          <c:tx>
            <c:strRef>
              <c:f>'Idea List'!$F$1</c:f>
              <c:strCache>
                <c:ptCount val="1"/>
                <c:pt idx="0">
                  <c:v>Comment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'Idea List'!$F$2:$F$17</c:f>
              <c:numCache>
                <c:formatCode>General</c:formatCode>
                <c:ptCount val="16"/>
                <c:pt idx="0">
                  <c:v>24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35</c:v>
                </c:pt>
                <c:pt idx="5">
                  <c:v>27</c:v>
                </c:pt>
                <c:pt idx="6">
                  <c:v>34</c:v>
                </c:pt>
                <c:pt idx="7">
                  <c:v>22</c:v>
                </c:pt>
                <c:pt idx="8">
                  <c:v>22</c:v>
                </c:pt>
                <c:pt idx="9">
                  <c:v>28</c:v>
                </c:pt>
                <c:pt idx="10">
                  <c:v>30</c:v>
                </c:pt>
                <c:pt idx="11">
                  <c:v>44</c:v>
                </c:pt>
                <c:pt idx="12">
                  <c:v>30</c:v>
                </c:pt>
                <c:pt idx="13">
                  <c:v>29</c:v>
                </c:pt>
                <c:pt idx="14">
                  <c:v>34</c:v>
                </c:pt>
                <c:pt idx="1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28-4B26-BDCC-EA5D997C3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995232"/>
        <c:axId val="484999824"/>
      </c:barChart>
      <c:catAx>
        <c:axId val="484995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99824"/>
        <c:crosses val="autoZero"/>
        <c:auto val="1"/>
        <c:lblAlgn val="ctr"/>
        <c:lblOffset val="100"/>
        <c:noMultiLvlLbl val="0"/>
      </c:catAx>
      <c:valAx>
        <c:axId val="48499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9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view'!$A$1:$C$1</c:f>
              <c:strCache>
                <c:ptCount val="3"/>
                <c:pt idx="0">
                  <c:v>TOTAL IDEAS</c:v>
                </c:pt>
                <c:pt idx="1">
                  <c:v>TOTAL UPVOTES</c:v>
                </c:pt>
                <c:pt idx="2">
                  <c:v>TOTAL DISCUSSIONS</c:v>
                </c:pt>
              </c:strCache>
            </c:strRef>
          </c:cat>
          <c:val>
            <c:numRef>
              <c:f>'Dashboard view'!$A$2:$C$2</c:f>
              <c:numCache>
                <c:formatCode>General</c:formatCode>
                <c:ptCount val="3"/>
                <c:pt idx="0">
                  <c:v>16</c:v>
                </c:pt>
                <c:pt idx="1">
                  <c:v>1142</c:v>
                </c:pt>
                <c:pt idx="2">
                  <c:v>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2-4966-86ED-B38598B3C11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UPVOTE</a:t>
            </a:r>
            <a:r>
              <a:rPr lang="en-IN" baseline="0"/>
              <a:t> VS COMMENTS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'Idea List'!$E$1</c:f>
              <c:strCache>
                <c:ptCount val="1"/>
                <c:pt idx="0">
                  <c:v>Upvote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'Idea List'!$E$2:$E$17</c:f>
              <c:numCache>
                <c:formatCode>General</c:formatCode>
                <c:ptCount val="16"/>
                <c:pt idx="0">
                  <c:v>85</c:v>
                </c:pt>
                <c:pt idx="1">
                  <c:v>70</c:v>
                </c:pt>
                <c:pt idx="2">
                  <c:v>66</c:v>
                </c:pt>
                <c:pt idx="3">
                  <c:v>99</c:v>
                </c:pt>
                <c:pt idx="4">
                  <c:v>88</c:v>
                </c:pt>
                <c:pt idx="5">
                  <c:v>50</c:v>
                </c:pt>
                <c:pt idx="6">
                  <c:v>49</c:v>
                </c:pt>
                <c:pt idx="7">
                  <c:v>60</c:v>
                </c:pt>
                <c:pt idx="8">
                  <c:v>55</c:v>
                </c:pt>
                <c:pt idx="9">
                  <c:v>78</c:v>
                </c:pt>
                <c:pt idx="10">
                  <c:v>82</c:v>
                </c:pt>
                <c:pt idx="11">
                  <c:v>67</c:v>
                </c:pt>
                <c:pt idx="12">
                  <c:v>59</c:v>
                </c:pt>
                <c:pt idx="13">
                  <c:v>90</c:v>
                </c:pt>
                <c:pt idx="14">
                  <c:v>64</c:v>
                </c:pt>
                <c:pt idx="1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2-463F-B60D-EFE80B2120AE}"/>
            </c:ext>
          </c:extLst>
        </c:ser>
        <c:ser>
          <c:idx val="1"/>
          <c:order val="1"/>
          <c:tx>
            <c:strRef>
              <c:f>'Idea List'!$F$1</c:f>
              <c:strCache>
                <c:ptCount val="1"/>
                <c:pt idx="0">
                  <c:v>Comment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'Idea List'!$F$2:$F$17</c:f>
              <c:numCache>
                <c:formatCode>General</c:formatCode>
                <c:ptCount val="16"/>
                <c:pt idx="0">
                  <c:v>24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35</c:v>
                </c:pt>
                <c:pt idx="5">
                  <c:v>27</c:v>
                </c:pt>
                <c:pt idx="6">
                  <c:v>34</c:v>
                </c:pt>
                <c:pt idx="7">
                  <c:v>22</c:v>
                </c:pt>
                <c:pt idx="8">
                  <c:v>22</c:v>
                </c:pt>
                <c:pt idx="9">
                  <c:v>28</c:v>
                </c:pt>
                <c:pt idx="10">
                  <c:v>30</c:v>
                </c:pt>
                <c:pt idx="11">
                  <c:v>44</c:v>
                </c:pt>
                <c:pt idx="12">
                  <c:v>30</c:v>
                </c:pt>
                <c:pt idx="13">
                  <c:v>29</c:v>
                </c:pt>
                <c:pt idx="14">
                  <c:v>34</c:v>
                </c:pt>
                <c:pt idx="1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2-463F-B60D-EFE80B212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995232"/>
        <c:axId val="484999824"/>
      </c:barChart>
      <c:catAx>
        <c:axId val="484995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99824"/>
        <c:crosses val="autoZero"/>
        <c:auto val="1"/>
        <c:lblAlgn val="ctr"/>
        <c:lblOffset val="100"/>
        <c:noMultiLvlLbl val="0"/>
      </c:catAx>
      <c:valAx>
        <c:axId val="48499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9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1</xdr:row>
      <xdr:rowOff>11906</xdr:rowOff>
    </xdr:from>
    <xdr:to>
      <xdr:col>3</xdr:col>
      <xdr:colOff>519907</xdr:colOff>
      <xdr:row>14</xdr:row>
      <xdr:rowOff>23814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569F4F-C54C-4515-9256-D3FF74799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</xdr:colOff>
      <xdr:row>0</xdr:row>
      <xdr:rowOff>83344</xdr:rowOff>
    </xdr:from>
    <xdr:to>
      <xdr:col>10</xdr:col>
      <xdr:colOff>301626</xdr:colOff>
      <xdr:row>14</xdr:row>
      <xdr:rowOff>23814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68D35F-8673-47C4-90DE-D7719CC95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2</xdr:row>
      <xdr:rowOff>193675</xdr:rowOff>
    </xdr:from>
    <xdr:to>
      <xdr:col>8</xdr:col>
      <xdr:colOff>530225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D0A21-193D-4AB8-8EED-0708C41CB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450850</xdr:colOff>
      <xdr:row>2</xdr:row>
      <xdr:rowOff>69850</xdr:rowOff>
    </xdr:from>
    <xdr:to>
      <xdr:col>11</xdr:col>
      <xdr:colOff>146050</xdr:colOff>
      <xdr:row>19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080503-E9E0-4D20-ACBB-9D302BE88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C0C54-BF70-4075-8ECA-2228CDBDD8CA}" name="Table1" displayName="Table1" ref="A1:G17" totalsRowShown="0" headerRowDxfId="0" dataDxfId="1">
  <autoFilter ref="A1:G17" xr:uid="{9C5C0C54-BF70-4075-8ECA-2228CDBDD8CA}"/>
  <tableColumns count="7">
    <tableColumn id="1" xr3:uid="{F0AE09C9-11BC-4571-892A-DB3F7EF993BA}" name="Idea ID  " dataDxfId="5"/>
    <tableColumn id="2" xr3:uid="{6DDC0EB6-D6DB-47EC-B685-FC2375E32700}" name="Idea Title "/>
    <tableColumn id="3" xr3:uid="{A36967F8-78BC-4BF9-A9D2-C6905671CF38}" name="Description"/>
    <tableColumn id="4" xr3:uid="{22EB6EE3-A733-450F-99F9-8770189CBE8B}" name="Date Submitted"/>
    <tableColumn id="5" xr3:uid="{AB2DB794-7EC4-47DB-ACFE-5893A3E44CB3}" name="Upvote Count" dataDxfId="4"/>
    <tableColumn id="6" xr3:uid="{9CEF4945-B86C-4DFB-8885-E04CFF17B482}" name="Comment Count" dataDxfId="3"/>
    <tableColumn id="7" xr3:uid="{8CEE74E8-C547-4E45-A000-3C005F8F50C3}" name="Discussion Score" dataDxfId="2">
      <calculatedColumnFormula>(E2)+(F2*2)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D25B-63D3-4619-89BD-C969AFAB837A}">
  <dimension ref="A1"/>
  <sheetViews>
    <sheetView tabSelected="1" view="pageBreakPreview" zoomScale="160" zoomScaleNormal="100" zoomScaleSheetLayoutView="160" workbookViewId="0">
      <selection activeCell="E3" sqref="E3"/>
    </sheetView>
  </sheetViews>
  <sheetFormatPr defaultRowHeight="12.5" x14ac:dyDescent="0.25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7"/>
  <sheetViews>
    <sheetView workbookViewId="0">
      <selection activeCell="E1" sqref="E1:F17"/>
    </sheetView>
  </sheetViews>
  <sheetFormatPr defaultColWidth="12.6328125" defaultRowHeight="15.75" customHeight="1" x14ac:dyDescent="0.25"/>
  <cols>
    <col min="2" max="2" width="14.6328125" customWidth="1"/>
    <col min="4" max="4" width="16" customWidth="1"/>
    <col min="5" max="5" width="14.6328125" customWidth="1"/>
    <col min="6" max="6" width="16.7265625" customWidth="1"/>
    <col min="7" max="7" width="17.8164062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>
        <v>1</v>
      </c>
      <c r="B2" s="1" t="s">
        <v>7</v>
      </c>
      <c r="E2" s="1">
        <v>85</v>
      </c>
      <c r="F2" s="1">
        <v>24</v>
      </c>
      <c r="G2" s="1">
        <f t="shared" ref="G2:G17" si="0">(E2)+(F2*2)</f>
        <v>133</v>
      </c>
    </row>
    <row r="3" spans="1:7" ht="15.75" customHeight="1" x14ac:dyDescent="0.25">
      <c r="A3" s="1">
        <v>2</v>
      </c>
      <c r="E3" s="1">
        <v>70</v>
      </c>
      <c r="F3" s="1">
        <v>20</v>
      </c>
      <c r="G3" s="1">
        <f t="shared" si="0"/>
        <v>110</v>
      </c>
    </row>
    <row r="4" spans="1:7" ht="15.75" customHeight="1" x14ac:dyDescent="0.25">
      <c r="A4" s="1">
        <v>3</v>
      </c>
      <c r="E4" s="1">
        <v>66</v>
      </c>
      <c r="F4" s="1">
        <v>30</v>
      </c>
      <c r="G4" s="1">
        <f t="shared" si="0"/>
        <v>126</v>
      </c>
    </row>
    <row r="5" spans="1:7" ht="15.75" customHeight="1" x14ac:dyDescent="0.25">
      <c r="A5" s="1">
        <v>4</v>
      </c>
      <c r="E5" s="1">
        <v>99</v>
      </c>
      <c r="F5" s="1">
        <v>40</v>
      </c>
      <c r="G5" s="1">
        <f t="shared" si="0"/>
        <v>179</v>
      </c>
    </row>
    <row r="6" spans="1:7" ht="15.75" customHeight="1" x14ac:dyDescent="0.25">
      <c r="A6" s="1">
        <v>5</v>
      </c>
      <c r="E6" s="1">
        <v>88</v>
      </c>
      <c r="F6" s="1">
        <v>35</v>
      </c>
      <c r="G6" s="1">
        <f t="shared" si="0"/>
        <v>158</v>
      </c>
    </row>
    <row r="7" spans="1:7" ht="15.75" customHeight="1" x14ac:dyDescent="0.25">
      <c r="A7" s="1">
        <v>6</v>
      </c>
      <c r="E7" s="1">
        <v>50</v>
      </c>
      <c r="F7" s="1">
        <v>27</v>
      </c>
      <c r="G7" s="1">
        <f t="shared" si="0"/>
        <v>104</v>
      </c>
    </row>
    <row r="8" spans="1:7" ht="15.75" customHeight="1" x14ac:dyDescent="0.25">
      <c r="A8" s="1">
        <v>7</v>
      </c>
      <c r="E8" s="1">
        <v>49</v>
      </c>
      <c r="F8" s="1">
        <v>34</v>
      </c>
      <c r="G8" s="1">
        <f t="shared" si="0"/>
        <v>117</v>
      </c>
    </row>
    <row r="9" spans="1:7" ht="15.75" customHeight="1" x14ac:dyDescent="0.25">
      <c r="A9" s="1">
        <v>8</v>
      </c>
      <c r="E9" s="1">
        <v>60</v>
      </c>
      <c r="F9" s="1">
        <v>22</v>
      </c>
      <c r="G9" s="1">
        <f t="shared" si="0"/>
        <v>104</v>
      </c>
    </row>
    <row r="10" spans="1:7" ht="15.75" customHeight="1" x14ac:dyDescent="0.25">
      <c r="A10" s="1">
        <v>9</v>
      </c>
      <c r="E10" s="1">
        <v>55</v>
      </c>
      <c r="F10" s="1">
        <v>22</v>
      </c>
      <c r="G10" s="1">
        <f t="shared" si="0"/>
        <v>99</v>
      </c>
    </row>
    <row r="11" spans="1:7" ht="15.75" customHeight="1" x14ac:dyDescent="0.25">
      <c r="A11" s="1">
        <v>10</v>
      </c>
      <c r="E11" s="1">
        <v>78</v>
      </c>
      <c r="F11" s="1">
        <v>28</v>
      </c>
      <c r="G11" s="1">
        <f t="shared" si="0"/>
        <v>134</v>
      </c>
    </row>
    <row r="12" spans="1:7" ht="15.75" customHeight="1" x14ac:dyDescent="0.25">
      <c r="A12" s="1">
        <v>11</v>
      </c>
      <c r="E12" s="1">
        <v>82</v>
      </c>
      <c r="F12" s="1">
        <v>30</v>
      </c>
      <c r="G12" s="1">
        <f t="shared" si="0"/>
        <v>142</v>
      </c>
    </row>
    <row r="13" spans="1:7" ht="15.75" customHeight="1" x14ac:dyDescent="0.25">
      <c r="A13" s="1">
        <v>12</v>
      </c>
      <c r="E13" s="1">
        <v>67</v>
      </c>
      <c r="F13" s="1">
        <v>44</v>
      </c>
      <c r="G13" s="1">
        <f t="shared" si="0"/>
        <v>155</v>
      </c>
    </row>
    <row r="14" spans="1:7" ht="15.75" customHeight="1" x14ac:dyDescent="0.25">
      <c r="A14" s="1">
        <v>13</v>
      </c>
      <c r="E14" s="1">
        <v>59</v>
      </c>
      <c r="F14" s="1">
        <v>30</v>
      </c>
      <c r="G14" s="1">
        <f t="shared" si="0"/>
        <v>119</v>
      </c>
    </row>
    <row r="15" spans="1:7" ht="15.75" customHeight="1" x14ac:dyDescent="0.25">
      <c r="A15" s="1">
        <v>14</v>
      </c>
      <c r="E15" s="1">
        <v>90</v>
      </c>
      <c r="F15" s="1">
        <v>29</v>
      </c>
      <c r="G15" s="1">
        <f t="shared" si="0"/>
        <v>148</v>
      </c>
    </row>
    <row r="16" spans="1:7" ht="15.75" customHeight="1" x14ac:dyDescent="0.25">
      <c r="A16" s="1">
        <v>15</v>
      </c>
      <c r="E16" s="1">
        <v>64</v>
      </c>
      <c r="F16" s="1">
        <v>34</v>
      </c>
      <c r="G16" s="1">
        <f t="shared" si="0"/>
        <v>132</v>
      </c>
    </row>
    <row r="17" spans="1:7" ht="15.75" customHeight="1" x14ac:dyDescent="0.25">
      <c r="A17" s="1">
        <v>16</v>
      </c>
      <c r="E17" s="1">
        <v>80</v>
      </c>
      <c r="F17" s="1">
        <v>40</v>
      </c>
      <c r="G17" s="1">
        <f t="shared" si="0"/>
        <v>160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"/>
  <sheetViews>
    <sheetView workbookViewId="0">
      <selection activeCell="B20" sqref="B20"/>
    </sheetView>
  </sheetViews>
  <sheetFormatPr defaultColWidth="12.6328125" defaultRowHeight="15.75" customHeight="1" x14ac:dyDescent="0.25"/>
  <cols>
    <col min="2" max="2" width="14.453125" customWidth="1"/>
    <col min="3" max="3" width="18.90625" customWidth="1"/>
  </cols>
  <sheetData>
    <row r="1" spans="1:3" ht="15.75" customHeight="1" x14ac:dyDescent="0.25">
      <c r="A1" s="1" t="s">
        <v>8</v>
      </c>
      <c r="B1" s="1" t="s">
        <v>9</v>
      </c>
      <c r="C1" s="1" t="s">
        <v>10</v>
      </c>
    </row>
    <row r="2" spans="1:3" ht="15.75" customHeight="1" x14ac:dyDescent="0.25">
      <c r="A2" s="1">
        <f>COUNT('Idea List'!A:A)</f>
        <v>16</v>
      </c>
      <c r="B2" s="1">
        <f>SUM('Idea List'!E:E)</f>
        <v>1142</v>
      </c>
      <c r="C2" s="1">
        <f>SUM('Idea List'!F:F)</f>
        <v>489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DBBC-2DB2-45F8-B302-58207A84E313}">
  <dimension ref="F1:H1"/>
  <sheetViews>
    <sheetView workbookViewId="0">
      <selection activeCell="E9" sqref="E9"/>
    </sheetView>
  </sheetViews>
  <sheetFormatPr defaultRowHeight="12.5" x14ac:dyDescent="0.25"/>
  <sheetData>
    <row r="1" spans="6:8" ht="26.5" customHeight="1" x14ac:dyDescent="0.35">
      <c r="F1" s="2" t="s">
        <v>11</v>
      </c>
      <c r="H1" s="2" t="s">
        <v>12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Idea List</vt:lpstr>
      <vt:lpstr>Dashboard view</vt:lpstr>
      <vt:lpstr> UPVOTES VS 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2025-09-27T09:38:02Z</dcterms:created>
  <dcterms:modified xsi:type="dcterms:W3CDTF">2025-09-27T09:38:02Z</dcterms:modified>
</cp:coreProperties>
</file>